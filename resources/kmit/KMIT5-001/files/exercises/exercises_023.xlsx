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5" windowWidth="19035" windowHeight="9210" tabRatio="600" firstSheet="0" activeTab="0" autoFilterDateGrouping="1"/>
  </bookViews>
  <sheets>
    <sheet xmlns:r="http://schemas.openxmlformats.org/officeDocument/2006/relationships" name="Успех" sheetId="1" state="visible" r:id="rId1"/>
    <sheet xmlns:r="http://schemas.openxmlformats.org/officeDocument/2006/relationships" name="Дати" sheetId="2" state="visible" r:id="rId2"/>
    <sheet xmlns:r="http://schemas.openxmlformats.org/officeDocument/2006/relationships"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1">
    <font>
      <name val="Arial"/>
      <charset val="204"/>
      <sz val="10"/>
    </font>
    <font>
      <name val="Arial"/>
      <charset val="204"/>
      <family val="2"/>
      <sz val="8"/>
    </font>
    <font>
      <name val="Arial"/>
      <charset val="204"/>
      <family val="2"/>
      <sz val="12"/>
    </font>
    <font>
      <name val="Arial"/>
      <charset val="204"/>
      <family val="2"/>
      <sz val="14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Arial"/>
      <charset val="204"/>
      <family val="2"/>
      <b val="1"/>
      <color indexed="12"/>
      <sz val="12"/>
    </font>
    <font>
      <name val="Arial"/>
      <charset val="204"/>
      <family val="2"/>
      <b val="1"/>
      <color indexed="52"/>
      <sz val="12"/>
    </font>
    <font>
      <name val="Arial"/>
      <charset val="204"/>
      <family val="2"/>
      <b val="1"/>
      <color indexed="9"/>
      <sz val="12"/>
    </font>
    <font>
      <name val="Arial"/>
      <charset val="204"/>
      <family val="2"/>
      <b val="1"/>
      <color indexed="13"/>
      <sz val="12"/>
    </font>
    <font>
      <name val="Arial"/>
      <charset val="204"/>
      <family val="2"/>
      <b val="1"/>
      <color indexed="15"/>
      <sz val="12"/>
    </font>
  </fonts>
  <fills count="6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  <xf numFmtId="2" fontId="8" fillId="5" borderId="1" pivotButton="0" quotePrefix="0" xfId="0"/>
    <xf numFmtId="2" fontId="9" fillId="5" borderId="1" pivotButton="0" quotePrefix="0" xfId="0"/>
    <xf numFmtId="2" fontId="1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Нормален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3825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F13" sqref="F13"/>
    </sheetView>
  </sheetViews>
  <sheetFormatPr baseColWidth="8" defaultRowHeight="15"/>
  <cols>
    <col width="31.85546875" bestFit="1" customWidth="1" style="1" min="1" max="1"/>
    <col width="15.5703125" customWidth="1" style="1" min="2" max="2"/>
    <col width="15" customWidth="1" style="1" min="3" max="3"/>
    <col width="20.7109375" bestFit="1" customWidth="1" style="1" min="4" max="4"/>
    <col width="9.140625" customWidth="1" style="1" min="5" max="16384"/>
  </cols>
  <sheetData>
    <row r="1" ht="25.5" customFormat="1" customHeight="1" s="21">
      <c r="A1" s="20" t="inlineStr">
        <is>
          <t>Учебен предмет</t>
        </is>
      </c>
      <c r="B1" s="20" t="inlineStr">
        <is>
          <t>1 срок</t>
        </is>
      </c>
      <c r="C1" s="20" t="inlineStr">
        <is>
          <t>2 срок</t>
        </is>
      </c>
      <c r="D1" s="20" t="inlineStr">
        <is>
          <t>Годишни оценки</t>
        </is>
      </c>
    </row>
    <row r="2" ht="15.75" customHeight="1">
      <c r="A2" s="15" t="inlineStr">
        <is>
          <t>Математика</t>
        </is>
      </c>
      <c r="B2" s="17" t="n">
        <v>4</v>
      </c>
      <c r="C2" s="18" t="n">
        <v>6</v>
      </c>
      <c r="D2" s="19">
        <f>AVERAGE(B2:C2)</f>
        <v/>
      </c>
    </row>
    <row r="3" ht="15.75" customHeight="1">
      <c r="A3" s="15" t="inlineStr">
        <is>
          <t>Български език и литература</t>
        </is>
      </c>
      <c r="B3" s="17" t="n">
        <v>4</v>
      </c>
      <c r="C3" s="18" t="n">
        <v>6</v>
      </c>
      <c r="D3" s="19">
        <f>AVERAGE(B3:C3)</f>
        <v/>
      </c>
    </row>
    <row r="4" ht="15.75" customHeight="1">
      <c r="A4" s="15" t="inlineStr">
        <is>
          <t>Английски език</t>
        </is>
      </c>
      <c r="B4" s="17" t="n">
        <v>5</v>
      </c>
      <c r="C4" s="18" t="n">
        <v>6</v>
      </c>
      <c r="D4" s="19">
        <f>AVERAGE(B4:C4)</f>
        <v/>
      </c>
    </row>
    <row r="5" ht="15.75" customHeight="1">
      <c r="A5" s="15" t="n"/>
      <c r="B5" s="17" t="n">
        <v>5</v>
      </c>
      <c r="C5" s="18" t="n">
        <v>6</v>
      </c>
      <c r="D5" s="19">
        <f>AVERAGE(B5:C5)</f>
        <v/>
      </c>
    </row>
    <row r="6" ht="15.75" customHeight="1">
      <c r="A6" s="15" t="n"/>
      <c r="B6" s="17" t="n">
        <v>3</v>
      </c>
      <c r="C6" s="18" t="n">
        <v>6</v>
      </c>
      <c r="D6" s="19">
        <f>AVERAGE(B6:C6)</f>
        <v/>
      </c>
    </row>
    <row r="7" ht="15.75" customHeight="1">
      <c r="A7" s="16" t="n"/>
      <c r="B7" s="17" t="n">
        <v>6</v>
      </c>
      <c r="C7" s="18" t="n">
        <v>6</v>
      </c>
      <c r="D7" s="19">
        <f>AVERAGE(B7:C7)</f>
        <v/>
      </c>
    </row>
    <row r="8" ht="15.75" customHeight="1">
      <c r="A8" s="15" t="n"/>
      <c r="B8" s="17" t="n">
        <v>5</v>
      </c>
      <c r="C8" s="18" t="n">
        <v>6</v>
      </c>
      <c r="D8" s="19">
        <f>AVERAGE(B8:C8)</f>
        <v/>
      </c>
    </row>
    <row r="9" ht="15.75" customHeight="1">
      <c r="A9" s="15" t="n"/>
      <c r="B9" s="17" t="n">
        <v>4</v>
      </c>
      <c r="C9" s="18" t="n">
        <v>6</v>
      </c>
      <c r="D9" s="19">
        <f>AVERAGE(B9:C9)</f>
        <v/>
      </c>
    </row>
    <row r="10" ht="15.75" customHeight="1">
      <c r="A10" s="15" t="n"/>
      <c r="B10" s="17" t="n">
        <v>4</v>
      </c>
      <c r="C10" s="18" t="n">
        <v>6</v>
      </c>
      <c r="D10" s="19">
        <f>AVERAGE(B10:C10)</f>
        <v/>
      </c>
    </row>
    <row r="11" ht="15.75" customHeight="1">
      <c r="A11" s="15" t="n"/>
      <c r="B11" s="17" t="n">
        <v>4</v>
      </c>
      <c r="C11" s="18" t="n">
        <v>6</v>
      </c>
      <c r="D11" s="19">
        <f>AVERAGE(B11:C11)</f>
        <v/>
      </c>
    </row>
    <row r="12" ht="15.75" customHeight="1">
      <c r="A12" s="15" t="n"/>
      <c r="B12" s="17" t="n">
        <v>4</v>
      </c>
      <c r="C12" s="18" t="n">
        <v>6</v>
      </c>
      <c r="D12" s="19">
        <f>AVERAGE(B12:C12)</f>
        <v/>
      </c>
    </row>
    <row r="13" ht="18" customFormat="1" customHeight="1" s="2">
      <c r="A13" s="2" t="inlineStr">
        <is>
          <t>Среден успех с цифри</t>
        </is>
      </c>
      <c r="B13" s="3">
        <f>AVERAGE(B2:B12)</f>
        <v/>
      </c>
      <c r="C13" s="3">
        <f>AVERAGE(C2:C12)</f>
        <v/>
      </c>
      <c r="D13" s="3">
        <f>AVERAGE(D2:D12)</f>
        <v/>
      </c>
    </row>
    <row r="14" ht="18" customFormat="1" customHeight="1" s="2">
      <c r="A14" s="2" t="inlineStr">
        <is>
          <t>Среден успех с думи</t>
        </is>
      </c>
      <c r="B14" s="4">
        <f>CHOOSE(ROUND(B13,0),"","Слаб","Среден","Добър","Мн. добър","Отличен")</f>
        <v/>
      </c>
      <c r="C14" s="4">
        <f>CHOOSE(ROUND(C13,0),"","Слаб","Среден","Добър","Мн. добър","Отличен")</f>
        <v/>
      </c>
      <c r="D14" s="4">
        <f>CHOOSE(ROUND(D13,0),"","Слаб","Среден","Добър","Мн. добър","Отличен")</f>
        <v/>
      </c>
    </row>
  </sheetData>
  <pageMargins left="0.75" right="0.75" top="1" bottom="1" header="0.5" footer="0.5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F17" sqref="F17"/>
    </sheetView>
  </sheetViews>
  <sheetFormatPr baseColWidth="8" defaultRowHeight="15"/>
  <cols>
    <col width="13.28515625" customWidth="1" style="6" min="1" max="1"/>
    <col width="5.7109375" customWidth="1" style="6" min="2" max="2"/>
    <col width="8.42578125" bestFit="1" customWidth="1" style="6" min="3" max="3"/>
    <col width="9.5703125" bestFit="1" customWidth="1" style="6" min="4" max="4"/>
    <col width="12" customWidth="1" style="6" min="5" max="5"/>
    <col width="9.140625" customWidth="1" style="6" min="6" max="6"/>
    <col width="18.85546875" bestFit="1" customWidth="1" style="6" min="7" max="7"/>
    <col width="9.140625" customWidth="1" style="6" min="8" max="16384"/>
  </cols>
  <sheetData>
    <row r="1" ht="15.75" customFormat="1" customHeight="1" s="5">
      <c r="A1" s="9" t="inlineStr">
        <is>
          <t>Име</t>
        </is>
      </c>
      <c r="B1" s="9" t="inlineStr">
        <is>
          <t>Ден</t>
        </is>
      </c>
      <c r="C1" s="9" t="inlineStr">
        <is>
          <t>Месец</t>
        </is>
      </c>
      <c r="D1" s="9" t="inlineStr">
        <is>
          <t>Година</t>
        </is>
      </c>
      <c r="E1" s="9" t="inlineStr">
        <is>
          <t>Брой дни</t>
        </is>
      </c>
    </row>
    <row r="2" ht="15.75" customHeight="1">
      <c r="A2" s="14" t="inlineStr">
        <is>
          <t>Майка</t>
        </is>
      </c>
      <c r="B2" s="11" t="n">
        <v>5</v>
      </c>
      <c r="C2" s="12" t="n">
        <v>9</v>
      </c>
      <c r="D2" s="13" t="n">
        <v>1971</v>
      </c>
      <c r="E2" s="14">
        <f>TODAY()-DATE(D2,C2,B2)</f>
        <v/>
      </c>
      <c r="G2" s="7" t="inlineStr">
        <is>
          <t>Най-млад</t>
        </is>
      </c>
      <c r="H2" s="7">
        <f>LOOKUP(MIN(E2:E7),E2:E7,A2:A7)</f>
        <v/>
      </c>
    </row>
    <row r="3" ht="15.75" customHeight="1">
      <c r="A3" s="14" t="inlineStr">
        <is>
          <t>Баща</t>
        </is>
      </c>
      <c r="B3" s="11" t="n">
        <v>10</v>
      </c>
      <c r="C3" s="12" t="n">
        <v>2</v>
      </c>
      <c r="D3" s="13" t="n">
        <v>1969</v>
      </c>
      <c r="E3" s="14">
        <f>TODAY()-DATE(D3,C3,B3)</f>
        <v/>
      </c>
      <c r="G3" s="8" t="inlineStr">
        <is>
          <t>Най-възрастен</t>
        </is>
      </c>
      <c r="H3" s="8">
        <f>LOOKUP(MAX(E2:E7),E2:E7,A2:A7)</f>
        <v/>
      </c>
    </row>
    <row r="4">
      <c r="A4" s="14" t="inlineStr">
        <is>
          <t>Брат</t>
        </is>
      </c>
      <c r="B4" s="11" t="n">
        <v>6</v>
      </c>
      <c r="C4" s="12" t="n">
        <v>12</v>
      </c>
      <c r="D4" s="13" t="n">
        <v>1980</v>
      </c>
      <c r="E4" s="14">
        <f>TODAY()-DATE(D4,C4,B4)</f>
        <v/>
      </c>
    </row>
    <row r="5">
      <c r="A5" s="14" t="inlineStr">
        <is>
          <t>Сестра</t>
        </is>
      </c>
      <c r="B5" s="11" t="n">
        <v>3</v>
      </c>
      <c r="C5" s="12" t="n">
        <v>2</v>
      </c>
      <c r="D5" s="13" t="n">
        <v>1979</v>
      </c>
      <c r="E5" s="14">
        <f>TODAY()-DATE(D5,C5,B5)</f>
        <v/>
      </c>
    </row>
    <row r="6">
      <c r="A6" s="14" t="inlineStr">
        <is>
          <t>Дядо</t>
        </is>
      </c>
      <c r="B6" s="11" t="n">
        <v>7</v>
      </c>
      <c r="C6" s="12" t="n">
        <v>5</v>
      </c>
      <c r="D6" s="13" t="n">
        <v>1954</v>
      </c>
      <c r="E6" s="14">
        <f>TODAY()-DATE(D6,C6,B6)</f>
        <v/>
      </c>
    </row>
    <row r="7">
      <c r="A7" s="14" t="inlineStr">
        <is>
          <t>Баба</t>
        </is>
      </c>
      <c r="B7" s="11" t="n">
        <v>10</v>
      </c>
      <c r="C7" s="12" t="n">
        <v>6</v>
      </c>
      <c r="D7" s="13" t="n">
        <v>1960</v>
      </c>
      <c r="E7" s="14">
        <f>TODAY()-DATE(D7,C7,B7)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Елена Маврова</dc:creator>
  <dcterms:created xmlns:dcterms="http://purl.org/dc/terms/" xmlns:xsi="http://www.w3.org/2001/XMLSchema-instance" xsi:type="dcterms:W3CDTF">2006-07-16T07:39:50Z</dcterms:created>
  <dcterms:modified xmlns:dcterms="http://purl.org/dc/terms/" xmlns:xsi="http://www.w3.org/2001/XMLSchema-instance" xsi:type="dcterms:W3CDTF">2026-07-22T20:30:10Z</dcterms:modified>
  <cp:lastModifiedBy>Потребител на Windows</cp:lastModifiedBy>
</cp:coreProperties>
</file>